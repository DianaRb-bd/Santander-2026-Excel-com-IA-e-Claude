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k Augusto\OneDrive\Área de Trabalho\DIANA\SANTANDER  2_2026 - EXCEL COM IA CLAUDE\MÓDULO 2 - Tabelas e Análise de Dados\Curso 06 - Criando uma Ferramenta de Controle de Investimentos com Excel\"/>
    </mc:Choice>
  </mc:AlternateContent>
  <xr:revisionPtr revIDLastSave="0" documentId="13_ncr:1_{5CDD94A1-B2D6-44B0-BA09-D5666A701310}" xr6:coauthVersionLast="47" xr6:coauthVersionMax="47" xr10:uidLastSave="{00000000-0000-0000-0000-000000000000}"/>
  <bookViews>
    <workbookView xWindow="-120" yWindow="-120" windowWidth="20730" windowHeight="11040" tabRatio="620" xr2:uid="{66ADD29A-F4B1-461A-A201-34C1CC84A182}"/>
  </bookViews>
  <sheets>
    <sheet name="APP" sheetId="2" r:id="rId1"/>
    <sheet name="TABELA DE APOIO" sheetId="3" r:id="rId2"/>
    <sheet name="TIPOS DE FII" sheetId="5" r:id="rId3"/>
  </sheets>
  <definedNames>
    <definedName name="aporte">APP!$D$17</definedName>
    <definedName name="investimento_acumulado">APP!$D$20</definedName>
    <definedName name="patrimonio_acumulado">APP!$D$21</definedName>
    <definedName name="rendimento_carteira">APP!$D$13</definedName>
    <definedName name="salario_mensal">APP!$D$12</definedName>
    <definedName name="sugestao_investimento">APP!$D$14</definedName>
    <definedName name="taxa_mensal" comment="Exemplo matemático editável. 1% ao mês não é garantia nem expectativa fornecida pela B3.">APP!$D$19</definedName>
    <definedName name="tempo_estimado" comment="O tempo estimado é calculado em anos.">APP!$D$18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9" i="2" l="1"/>
  <c r="D29" i="2" s="1"/>
  <c r="C25" i="2"/>
  <c r="D25" i="2" s="1"/>
  <c r="H26" i="2" s="1"/>
  <c r="D21" i="2"/>
  <c r="D20" i="2"/>
  <c r="G26" i="2" l="1"/>
  <c r="H30" i="2"/>
  <c r="G30" i="2"/>
  <c r="C28" i="2"/>
  <c r="G29" i="2" s="1"/>
  <c r="C27" i="2"/>
  <c r="G28" i="2" s="1"/>
  <c r="C26" i="2"/>
  <c r="G27" i="2" s="1"/>
  <c r="D28" i="2" l="1"/>
  <c r="H29" i="2" s="1"/>
  <c r="B10" i="3" l="1"/>
  <c r="B11" i="3"/>
  <c r="B12" i="3"/>
  <c r="B13" i="3"/>
  <c r="B14" i="3"/>
  <c r="B15" i="3"/>
  <c r="B16" i="3"/>
  <c r="B17" i="3"/>
  <c r="B18" i="3"/>
  <c r="B19" i="3"/>
  <c r="B20" i="3"/>
  <c r="B21" i="3"/>
  <c r="B5" i="3"/>
  <c r="B6" i="3"/>
  <c r="B7" i="3"/>
  <c r="B8" i="3"/>
  <c r="B9" i="3"/>
  <c r="B4" i="3"/>
  <c r="C48" i="2"/>
  <c r="D14" i="2"/>
  <c r="D26" i="2"/>
  <c r="H27" i="2" s="1"/>
  <c r="D27" i="2"/>
  <c r="H28" i="2" s="1"/>
  <c r="D22" i="2" l="1"/>
  <c r="C52" i="2"/>
  <c r="D52" i="2" s="1"/>
  <c r="C53" i="2"/>
  <c r="D53" i="2" s="1"/>
  <c r="C54" i="2"/>
  <c r="D54" i="2" s="1"/>
  <c r="C55" i="2"/>
  <c r="D55" i="2" s="1"/>
  <c r="C51" i="2"/>
  <c r="D51" i="2" s="1"/>
  <c r="C56" i="2"/>
  <c r="D56" i="2" s="1"/>
  <c r="H4" i="3"/>
  <c r="D57" i="2" l="1"/>
</calcChain>
</file>

<file path=xl/sharedStrings.xml><?xml version="1.0" encoding="utf-8"?>
<sst xmlns="http://schemas.openxmlformats.org/spreadsheetml/2006/main" count="112" uniqueCount="74">
  <si>
    <t>INVESTIMENTO MENSAL</t>
  </si>
  <si>
    <t>Patrimônio Acumulado em 2 anos</t>
  </si>
  <si>
    <t>Patrimônio Acumulado em 5 anos</t>
  </si>
  <si>
    <t>Patrimônio Acumulado em 10 anos</t>
  </si>
  <si>
    <t>Patrimônio Acumulado em 20 anos</t>
  </si>
  <si>
    <t>Patrimônio Acumulado em 30 anos</t>
  </si>
  <si>
    <t>Dividendo</t>
  </si>
  <si>
    <t>Rendimento Carteira</t>
  </si>
  <si>
    <t>Salário</t>
  </si>
  <si>
    <t>CONFIGURAÇÕES</t>
  </si>
  <si>
    <t>PERFIL</t>
  </si>
  <si>
    <t>AGRESSIVO</t>
  </si>
  <si>
    <t>CONSERVADOR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</si>
  <si>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</si>
  <si>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</si>
  <si>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</si>
  <si>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</si>
  <si>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</si>
  <si>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</si>
  <si>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</si>
  <si>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FOFs</t>
  </si>
  <si>
    <t>HÍBRIDO</t>
  </si>
  <si>
    <t>DESENVOLVIMENTO</t>
  </si>
  <si>
    <t>HOTELARIA</t>
  </si>
  <si>
    <t>%</t>
  </si>
  <si>
    <t>CHAVE</t>
  </si>
  <si>
    <t>MODERADO-TIJOLO</t>
  </si>
  <si>
    <t>Sugestão de Investimento (30%)</t>
  </si>
  <si>
    <t>TIPOS DE FUNDOS IMOBILIÁRIOS</t>
  </si>
  <si>
    <t>Papel</t>
  </si>
  <si>
    <t>Investe principalmente em títulos e créditos ligados ao setor imobiliário, como CRIs.</t>
  </si>
  <si>
    <t>Tijolo</t>
  </si>
  <si>
    <t>Investe em imóveis físicos, como galpões, shoppings, escritórios ou centros de distribuição.</t>
  </si>
  <si>
    <t>Híbrido</t>
  </si>
  <si>
    <t>Combina diferentes estratégias, por exemplo imóveis e títulos imobiliários.</t>
  </si>
  <si>
    <t>FOFs (fundo de fundos)</t>
  </si>
  <si>
    <t>Compra cotas de outros fundos imobiliários em vez de concentrar tudo em imóveis próprios.</t>
  </si>
  <si>
    <t>Desenvolvimento</t>
  </si>
  <si>
    <t>Investe em projetos imobiliários em construção ou desenvolvimento.</t>
  </si>
  <si>
    <t>Hotelaria</t>
  </si>
  <si>
    <t>Investe em hotéis ou ativos relacionados à hospedagem, conforme a estratégia do fundo.</t>
  </si>
  <si>
    <t>Importante: as categorias ajudam a entender a estratégia, mas não dizem sozinhas se um fundo é seguro ou adequado. Avalie a qualidade dos ativos, a gestão, os contratos, a diversificação, a liquidez, os custos e os riscos descritos nos documentos do fundo.</t>
  </si>
  <si>
    <t>TIPO</t>
  </si>
  <si>
    <t>EXPLICAÇÃO</t>
  </si>
  <si>
    <t>DE ONDE PODE VIR A RENDA</t>
  </si>
  <si>
    <t>Aluguéis de imóveis, como galpões, escritórios e shoppings.</t>
  </si>
  <si>
    <t>Combinação de imóveis e ativos financeiros imobiliários.</t>
  </si>
  <si>
    <t>Juros e pagamentos de títulos ligados ao mercado imobiliário, como CRIs.</t>
  </si>
  <si>
    <t>Rendimentos e variações de valor de cotas de outros FIIs.</t>
  </si>
  <si>
    <t>Possíveis ganhos com construção e venda ou exploração de imóveis.</t>
  </si>
  <si>
    <t>Resultado da operação ou da exploração de empreendimentos hoteleiros.</t>
  </si>
  <si>
    <t>Inadimplência, risco de crédito e mudanças nos juros e na inflação.</t>
  </si>
  <si>
    <t>Imóveis vagos, saída de inquilinos e queda no valor das cotas.</t>
  </si>
  <si>
    <t>Combinação dos riscos das diferentes estratégias.</t>
  </si>
  <si>
    <t>Oscilação dos fundos investidos e custos da estrutura.</t>
  </si>
  <si>
    <t>Atrasos, custos maiores e dificuldade de vender ou alugar.</t>
  </si>
  <si>
    <t>Ocupação, sazonalidade e desempenho do setor.</t>
  </si>
  <si>
    <t>RISCOS A ANALISAR</t>
  </si>
  <si>
    <t>Explicações simples das categorias usadas no arquivo original da Empresa B3 (Bolsa de Valores). Um fundo pode ter características próprias; confira sempre os documentos oficiais.</t>
  </si>
  <si>
    <t>PRAZO</t>
  </si>
  <si>
    <t>Patrimônio acumulado</t>
  </si>
  <si>
    <t>Dividendo mensal</t>
  </si>
  <si>
    <t>2 anos</t>
  </si>
  <si>
    <t>5 anos</t>
  </si>
  <si>
    <t>10 anos</t>
  </si>
  <si>
    <t>20 anos</t>
  </si>
  <si>
    <t>30 anos</t>
  </si>
  <si>
    <t>CENÁRIO</t>
  </si>
  <si>
    <t>Dividendo Mensal</t>
  </si>
  <si>
    <t xml:space="preserve">Patrimônio Acumulado Projetado </t>
  </si>
  <si>
    <t xml:space="preserve">Investimento Acumulado </t>
  </si>
  <si>
    <t>Investimento mensal</t>
  </si>
  <si>
    <t>Período em Anos</t>
  </si>
  <si>
    <t>Taxa de Rendimento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</si>
</sst>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2"/>
      <color theme="1"/>
      <name val="Segoe UI"/>
      <family val="2"/>
    </font>
    <font>
      <sz val="12"/>
      <name val="Segoe UI"/>
      <family val="2"/>
    </font>
    <font>
      <b/>
      <sz val="12"/>
      <color theme="1"/>
      <name val="Segoe UI"/>
      <family val="2"/>
    </font>
    <font>
      <b/>
      <sz val="20"/>
      <color theme="0"/>
      <name val="Segoe UI Semilight"/>
      <family val="2"/>
    </font>
    <font>
      <b/>
      <sz val="12"/>
      <color theme="0"/>
      <name val="Segoe UI Semilight"/>
      <family val="2"/>
    </font>
    <font>
      <sz val="11"/>
      <color rgb="FF0061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8"/>
      <color rgb="FFFFFFFF"/>
      <name val="Aptos Display"/>
      <family val="2"/>
    </font>
    <font>
      <i/>
      <sz val="11"/>
      <color theme="0"/>
      <name val="Aptos"/>
      <family val="2"/>
    </font>
    <font>
      <b/>
      <sz val="16"/>
      <color theme="0"/>
      <name val="Segoe UI Semilight"/>
      <family val="2"/>
    </font>
    <font>
      <b/>
      <sz val="11"/>
      <color rgb="FF9C57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Segoe UI Semilight"/>
      <family val="2"/>
    </font>
  </fonts>
  <fills count="16">
    <fill>
      <patternFill patternType="none"/>
    </fill>
    <fill>
      <patternFill patternType="gray125"/>
    </fill>
    <fill>
      <patternFill patternType="solid">
        <fgColor rgb="FF0033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theme="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EB9C"/>
      </patternFill>
    </fill>
    <fill>
      <patternFill patternType="solid">
        <fgColor rgb="FF064E3B"/>
      </patternFill>
    </fill>
    <fill>
      <patternFill patternType="solid">
        <fgColor rgb="FF033B2E"/>
      </patternFill>
    </fill>
    <fill>
      <patternFill patternType="solid">
        <fgColor rgb="FFF5F8F6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thick">
        <color theme="9" tint="-0.24994659260841701"/>
      </left>
      <right/>
      <top style="thick">
        <color theme="9" tint="-0.24994659260841701"/>
      </top>
      <bottom/>
      <diagonal/>
    </border>
    <border>
      <left/>
      <right/>
      <top style="thick">
        <color theme="9" tint="-0.24994659260841701"/>
      </top>
      <bottom/>
      <diagonal/>
    </border>
    <border>
      <left/>
      <right style="thick">
        <color theme="9" tint="-0.24994659260841701"/>
      </right>
      <top style="thick">
        <color theme="9" tint="-0.24994659260841701"/>
      </top>
      <bottom/>
      <diagonal/>
    </border>
    <border>
      <left style="thick">
        <color theme="9" tint="-0.24994659260841701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ck">
        <color theme="9" tint="-0.24994659260841701"/>
      </right>
      <top/>
      <bottom style="thin">
        <color theme="1" tint="0.499984740745262"/>
      </bottom>
      <diagonal/>
    </border>
    <border>
      <left style="thick">
        <color theme="9" tint="-0.2499465926084170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ck">
        <color theme="9" tint="-0.24994659260841701"/>
      </right>
      <top style="thin">
        <color theme="1" tint="0.499984740745262"/>
      </top>
      <bottom style="thin">
        <color theme="1" tint="0.499984740745262"/>
      </bottom>
      <diagonal/>
    </border>
    <border>
      <left style="thick">
        <color theme="9" tint="-0.24994659260841701"/>
      </left>
      <right style="thin">
        <color theme="1" tint="0.499984740745262"/>
      </right>
      <top style="thin">
        <color theme="1" tint="0.499984740745262"/>
      </top>
      <bottom style="thick">
        <color theme="9" tint="-0.2499465926084170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ck">
        <color theme="9" tint="-0.24994659260841701"/>
      </bottom>
      <diagonal/>
    </border>
    <border>
      <left style="thin">
        <color theme="1" tint="0.499984740745262"/>
      </left>
      <right style="thick">
        <color theme="9" tint="-0.24994659260841701"/>
      </right>
      <top style="thin">
        <color theme="1" tint="0.499984740745262"/>
      </top>
      <bottom style="thick">
        <color theme="9" tint="-0.24994659260841701"/>
      </bottom>
      <diagonal/>
    </border>
    <border>
      <left/>
      <right/>
      <top/>
      <bottom style="thick">
        <color rgb="FF254E16"/>
      </bottom>
      <diagonal/>
    </border>
    <border>
      <left style="thin">
        <color theme="1" tint="0.24994659260841701"/>
      </left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ck">
        <color theme="9" tint="-0.499984740745262"/>
      </left>
      <right/>
      <top style="thick">
        <color theme="9" tint="-0.499984740745262"/>
      </top>
      <bottom/>
      <diagonal/>
    </border>
    <border>
      <left/>
      <right/>
      <top style="thick">
        <color theme="9" tint="-0.499984740745262"/>
      </top>
      <bottom/>
      <diagonal/>
    </border>
    <border>
      <left/>
      <right style="thick">
        <color theme="9" tint="-0.499984740745262"/>
      </right>
      <top style="thick">
        <color theme="9" tint="-0.499984740745262"/>
      </top>
      <bottom/>
      <diagonal/>
    </border>
    <border>
      <left style="thick">
        <color theme="9" tint="-0.499984740745262"/>
      </left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theme="1" tint="0.24994659260841701"/>
      </left>
      <right style="thick">
        <color theme="9" tint="-0.499984740745262"/>
      </right>
      <top/>
      <bottom style="thin">
        <color theme="1" tint="0.24994659260841701"/>
      </bottom>
      <diagonal/>
    </border>
    <border>
      <left style="thick">
        <color theme="9" tint="-0.499984740745262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ck">
        <color theme="9" tint="-0.499984740745262"/>
      </right>
      <top style="thin">
        <color theme="1" tint="0.24994659260841701"/>
      </top>
      <bottom style="thin">
        <color theme="1" tint="0.24994659260841701"/>
      </bottom>
      <diagonal/>
    </border>
    <border>
      <left style="thick">
        <color theme="9" tint="-0.499984740745262"/>
      </left>
      <right style="thin">
        <color theme="1" tint="0.24994659260841701"/>
      </right>
      <top style="thin">
        <color theme="1" tint="0.24994659260841701"/>
      </top>
      <bottom style="thick">
        <color theme="9" tint="-0.499984740745262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ck">
        <color theme="9" tint="-0.499984740745262"/>
      </bottom>
      <diagonal/>
    </border>
    <border>
      <left style="thin">
        <color theme="1" tint="0.24994659260841701"/>
      </left>
      <right style="thick">
        <color theme="9" tint="-0.499984740745262"/>
      </right>
      <top style="thin">
        <color theme="1" tint="0.24994659260841701"/>
      </top>
      <bottom style="thick">
        <color theme="9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9" fillId="5" borderId="0" applyNumberFormat="0" applyBorder="0" applyAlignment="0" applyProtection="0"/>
    <xf numFmtId="0" fontId="2" fillId="6" borderId="0" applyNumberFormat="0" applyBorder="0" applyAlignment="0" applyProtection="0"/>
    <xf numFmtId="0" fontId="14" fillId="10" borderId="0" applyNumberFormat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3" fillId="0" borderId="0" xfId="0" applyFont="1"/>
    <xf numFmtId="164" fontId="6" fillId="0" borderId="6" xfId="0" applyNumberFormat="1" applyFont="1" applyBorder="1" applyAlignment="1">
      <alignment horizontal="right"/>
    </xf>
    <xf numFmtId="0" fontId="6" fillId="0" borderId="9" xfId="0" applyFont="1" applyBorder="1" applyAlignment="1">
      <alignment horizontal="right"/>
    </xf>
    <xf numFmtId="10" fontId="6" fillId="0" borderId="9" xfId="0" applyNumberFormat="1" applyFont="1" applyBorder="1" applyAlignment="1">
      <alignment horizontal="right"/>
    </xf>
    <xf numFmtId="164" fontId="4" fillId="0" borderId="6" xfId="0" applyNumberFormat="1" applyFont="1" applyBorder="1"/>
    <xf numFmtId="10" fontId="4" fillId="0" borderId="9" xfId="1" applyNumberFormat="1" applyFont="1" applyBorder="1"/>
    <xf numFmtId="0" fontId="8" fillId="2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indent="1"/>
    </xf>
    <xf numFmtId="8" fontId="4" fillId="4" borderId="5" xfId="0" applyNumberFormat="1" applyFont="1" applyFill="1" applyBorder="1"/>
    <xf numFmtId="8" fontId="4" fillId="4" borderId="6" xfId="0" applyNumberFormat="1" applyFont="1" applyFill="1" applyBorder="1"/>
    <xf numFmtId="0" fontId="4" fillId="4" borderId="7" xfId="0" applyFont="1" applyFill="1" applyBorder="1" applyAlignment="1">
      <alignment horizontal="left" indent="1"/>
    </xf>
    <xf numFmtId="8" fontId="4" fillId="4" borderId="8" xfId="0" applyNumberFormat="1" applyFont="1" applyFill="1" applyBorder="1"/>
    <xf numFmtId="8" fontId="4" fillId="4" borderId="9" xfId="0" applyNumberFormat="1" applyFont="1" applyFill="1" applyBorder="1"/>
    <xf numFmtId="0" fontId="4" fillId="4" borderId="10" xfId="0" applyFont="1" applyFill="1" applyBorder="1" applyAlignment="1">
      <alignment horizontal="left" indent="1"/>
    </xf>
    <xf numFmtId="8" fontId="4" fillId="4" borderId="11" xfId="0" applyNumberFormat="1" applyFont="1" applyFill="1" applyBorder="1"/>
    <xf numFmtId="8" fontId="4" fillId="4" borderId="12" xfId="0" applyNumberFormat="1" applyFont="1" applyFill="1" applyBorder="1"/>
    <xf numFmtId="8" fontId="6" fillId="4" borderId="9" xfId="0" applyNumberFormat="1" applyFont="1" applyFill="1" applyBorder="1" applyAlignment="1">
      <alignment horizontal="right"/>
    </xf>
    <xf numFmtId="8" fontId="6" fillId="4" borderId="12" xfId="0" applyNumberFormat="1" applyFont="1" applyFill="1" applyBorder="1" applyAlignment="1">
      <alignment horizontal="right"/>
    </xf>
    <xf numFmtId="164" fontId="4" fillId="7" borderId="12" xfId="0" applyNumberFormat="1" applyFont="1" applyFill="1" applyBorder="1"/>
    <xf numFmtId="0" fontId="2" fillId="6" borderId="0" xfId="3"/>
    <xf numFmtId="0" fontId="10" fillId="6" borderId="0" xfId="3" applyFont="1"/>
    <xf numFmtId="0" fontId="10" fillId="6" borderId="0" xfId="3" applyFont="1" applyAlignment="1">
      <alignment horizontal="right"/>
    </xf>
    <xf numFmtId="0" fontId="0" fillId="0" borderId="0" xfId="0" applyAlignment="1">
      <alignment horizontal="center"/>
    </xf>
    <xf numFmtId="0" fontId="0" fillId="8" borderId="0" xfId="0" applyFill="1"/>
    <xf numFmtId="164" fontId="11" fillId="8" borderId="0" xfId="0" applyNumberFormat="1" applyFont="1" applyFill="1"/>
    <xf numFmtId="0" fontId="11" fillId="8" borderId="0" xfId="0" applyFont="1" applyFill="1" applyAlignment="1">
      <alignment horizontal="center"/>
    </xf>
    <xf numFmtId="0" fontId="11" fillId="7" borderId="0" xfId="0" applyFont="1" applyFill="1"/>
    <xf numFmtId="164" fontId="11" fillId="7" borderId="0" xfId="0" applyNumberFormat="1" applyFont="1" applyFill="1" applyAlignment="1">
      <alignment horizontal="right"/>
    </xf>
    <xf numFmtId="0" fontId="0" fillId="7" borderId="0" xfId="0" applyFill="1"/>
    <xf numFmtId="0" fontId="0" fillId="0" borderId="0" xfId="0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9" fontId="0" fillId="0" borderId="0" xfId="1" applyFont="1" applyAlignment="1">
      <alignment horizontal="center" vertical="center"/>
    </xf>
    <xf numFmtId="9" fontId="0" fillId="0" borderId="13" xfId="1" applyFont="1" applyBorder="1" applyAlignment="1">
      <alignment horizontal="center" vertical="center"/>
    </xf>
    <xf numFmtId="9" fontId="0" fillId="0" borderId="0" xfId="1" applyFont="1" applyFill="1" applyBorder="1" applyAlignment="1">
      <alignment horizontal="center" vertical="center"/>
    </xf>
    <xf numFmtId="0" fontId="9" fillId="5" borderId="0" xfId="2"/>
    <xf numFmtId="9" fontId="9" fillId="5" borderId="0" xfId="1" applyFont="1" applyFill="1"/>
    <xf numFmtId="0" fontId="12" fillId="0" borderId="0" xfId="0" applyFont="1" applyAlignment="1">
      <alignment horizontal="center"/>
    </xf>
    <xf numFmtId="9" fontId="12" fillId="0" borderId="0" xfId="1" applyFont="1"/>
    <xf numFmtId="164" fontId="12" fillId="0" borderId="0" xfId="0" applyNumberFormat="1" applyFont="1"/>
    <xf numFmtId="0" fontId="13" fillId="9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/>
    </xf>
    <xf numFmtId="0" fontId="4" fillId="13" borderId="14" xfId="0" applyFont="1" applyFill="1" applyBorder="1" applyAlignment="1">
      <alignment vertical="top" wrapText="1"/>
    </xf>
    <xf numFmtId="0" fontId="4" fillId="13" borderId="20" xfId="0" applyFont="1" applyFill="1" applyBorder="1" applyAlignment="1">
      <alignment vertical="top" wrapText="1"/>
    </xf>
    <xf numFmtId="0" fontId="4" fillId="0" borderId="15" xfId="0" applyFont="1" applyBorder="1" applyAlignment="1">
      <alignment vertical="top" wrapText="1"/>
    </xf>
    <xf numFmtId="0" fontId="4" fillId="0" borderId="22" xfId="0" applyFont="1" applyBorder="1" applyAlignment="1">
      <alignment vertical="top" wrapText="1"/>
    </xf>
    <xf numFmtId="0" fontId="4" fillId="13" borderId="15" xfId="0" applyFont="1" applyFill="1" applyBorder="1" applyAlignment="1">
      <alignment vertical="top" wrapText="1"/>
    </xf>
    <xf numFmtId="0" fontId="4" fillId="13" borderId="22" xfId="0" applyFont="1" applyFill="1" applyBorder="1" applyAlignment="1">
      <alignment vertical="top" wrapText="1"/>
    </xf>
    <xf numFmtId="0" fontId="4" fillId="0" borderId="24" xfId="0" applyFont="1" applyBorder="1" applyAlignment="1">
      <alignment vertical="top" wrapText="1"/>
    </xf>
    <xf numFmtId="0" fontId="4" fillId="0" borderId="25" xfId="0" applyFont="1" applyBorder="1" applyAlignment="1">
      <alignment vertical="top" wrapText="1"/>
    </xf>
    <xf numFmtId="0" fontId="6" fillId="15" borderId="19" xfId="0" applyFont="1" applyFill="1" applyBorder="1" applyAlignment="1">
      <alignment horizontal="center" vertical="center" wrapText="1"/>
    </xf>
    <xf numFmtId="0" fontId="6" fillId="15" borderId="21" xfId="0" applyFont="1" applyFill="1" applyBorder="1" applyAlignment="1">
      <alignment horizontal="center" vertical="center" wrapText="1"/>
    </xf>
    <xf numFmtId="0" fontId="6" fillId="15" borderId="23" xfId="0" applyFont="1" applyFill="1" applyBorder="1" applyAlignment="1">
      <alignment horizontal="center" vertical="center" wrapText="1"/>
    </xf>
    <xf numFmtId="0" fontId="17" fillId="12" borderId="16" xfId="0" applyFont="1" applyFill="1" applyBorder="1" applyAlignment="1">
      <alignment horizontal="center" vertical="center" wrapText="1"/>
    </xf>
    <xf numFmtId="0" fontId="17" fillId="12" borderId="17" xfId="0" applyFont="1" applyFill="1" applyBorder="1" applyAlignment="1">
      <alignment horizontal="center" vertical="center" wrapText="1"/>
    </xf>
    <xf numFmtId="0" fontId="17" fillId="12" borderId="18" xfId="0" applyFont="1" applyFill="1" applyBorder="1" applyAlignment="1">
      <alignment horizontal="center" vertical="center" wrapText="1"/>
    </xf>
    <xf numFmtId="164" fontId="6" fillId="15" borderId="9" xfId="0" applyNumberFormat="1" applyFont="1" applyFill="1" applyBorder="1" applyAlignment="1">
      <alignment horizontal="right"/>
    </xf>
    <xf numFmtId="0" fontId="19" fillId="0" borderId="0" xfId="0" applyFont="1"/>
    <xf numFmtId="0" fontId="10" fillId="2" borderId="26" xfId="0" applyFont="1" applyFill="1" applyBorder="1" applyAlignment="1">
      <alignment horizontal="center" vertical="center"/>
    </xf>
    <xf numFmtId="0" fontId="0" fillId="4" borderId="26" xfId="0" applyFill="1" applyBorder="1"/>
    <xf numFmtId="8" fontId="0" fillId="4" borderId="26" xfId="0" applyNumberFormat="1" applyFill="1" applyBorder="1"/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indent="1"/>
    </xf>
    <xf numFmtId="0" fontId="4" fillId="4" borderId="5" xfId="0" applyFont="1" applyFill="1" applyBorder="1" applyAlignment="1">
      <alignment horizontal="left" indent="1"/>
    </xf>
    <xf numFmtId="0" fontId="4" fillId="4" borderId="7" xfId="0" applyFont="1" applyFill="1" applyBorder="1" applyAlignment="1">
      <alignment horizontal="left" indent="1"/>
    </xf>
    <xf numFmtId="0" fontId="4" fillId="4" borderId="8" xfId="0" applyFont="1" applyFill="1" applyBorder="1" applyAlignment="1">
      <alignment horizontal="left" indent="1"/>
    </xf>
    <xf numFmtId="0" fontId="4" fillId="4" borderId="10" xfId="0" applyFont="1" applyFill="1" applyBorder="1" applyAlignment="1">
      <alignment horizontal="left" indent="1"/>
    </xf>
    <xf numFmtId="0" fontId="4" fillId="4" borderId="11" xfId="0" applyFont="1" applyFill="1" applyBorder="1" applyAlignment="1">
      <alignment horizontal="left" indent="1"/>
    </xf>
    <xf numFmtId="0" fontId="7" fillId="2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indent="1"/>
    </xf>
    <xf numFmtId="0" fontId="5" fillId="0" borderId="5" xfId="0" applyFont="1" applyBorder="1" applyAlignment="1">
      <alignment horizontal="left" indent="1"/>
    </xf>
    <xf numFmtId="0" fontId="5" fillId="0" borderId="7" xfId="0" applyFont="1" applyBorder="1" applyAlignment="1">
      <alignment horizontal="left" indent="1"/>
    </xf>
    <xf numFmtId="0" fontId="5" fillId="0" borderId="8" xfId="0" applyFont="1" applyBorder="1" applyAlignment="1">
      <alignment horizontal="left" indent="1"/>
    </xf>
    <xf numFmtId="0" fontId="6" fillId="4" borderId="7" xfId="0" applyFont="1" applyFill="1" applyBorder="1" applyAlignment="1">
      <alignment horizontal="left" indent="1"/>
    </xf>
    <xf numFmtId="0" fontId="6" fillId="4" borderId="8" xfId="0" applyFont="1" applyFill="1" applyBorder="1" applyAlignment="1">
      <alignment horizontal="left" indent="1"/>
    </xf>
    <xf numFmtId="0" fontId="6" fillId="4" borderId="10" xfId="0" applyFont="1" applyFill="1" applyBorder="1" applyAlignment="1">
      <alignment horizontal="left" indent="1"/>
    </xf>
    <xf numFmtId="0" fontId="6" fillId="4" borderId="11" xfId="0" applyFont="1" applyFill="1" applyBorder="1" applyAlignment="1">
      <alignment horizontal="left" indent="1"/>
    </xf>
    <xf numFmtId="0" fontId="20" fillId="2" borderId="27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15" fillId="11" borderId="0" xfId="0" applyFont="1" applyFill="1" applyAlignment="1">
      <alignment vertical="center"/>
    </xf>
    <xf numFmtId="0" fontId="0" fillId="0" borderId="0" xfId="0"/>
    <xf numFmtId="0" fontId="16" fillId="14" borderId="0" xfId="0" applyFont="1" applyFill="1" applyAlignment="1">
      <alignment vertical="center" wrapText="1"/>
    </xf>
    <xf numFmtId="0" fontId="2" fillId="14" borderId="0" xfId="0" applyFont="1" applyFill="1"/>
    <xf numFmtId="0" fontId="18" fillId="10" borderId="0" xfId="4" applyFont="1" applyAlignment="1">
      <alignment vertical="center" wrapText="1"/>
    </xf>
    <xf numFmtId="0" fontId="18" fillId="10" borderId="0" xfId="4" applyFont="1"/>
    <xf numFmtId="0" fontId="20" fillId="2" borderId="29" xfId="0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/>
    </xf>
  </cellXfs>
  <cellStyles count="5">
    <cellStyle name="Bom" xfId="2" builtinId="26"/>
    <cellStyle name="Ênfase2" xfId="3" builtinId="33"/>
    <cellStyle name="Neutro" xfId="4" builtinId="28"/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FFFF00"/>
      <color rgb="FF155B1F"/>
      <color rgb="FF003300"/>
      <color rgb="FF002600"/>
      <color rgb="FF002E00"/>
      <color rgb="FFF5670F"/>
      <color rgb="FFF32E29"/>
      <color rgb="FF008000"/>
      <color rgb="FF006600"/>
      <color rgb="FF254E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COMPOSIÇÃO</a:t>
            </a:r>
            <a:r>
              <a:rPr lang="pt-BR" baseline="0"/>
              <a:t> MENSAL POR TIPO DE FII</a:t>
            </a:r>
          </a:p>
          <a:p>
            <a:pPr algn="l">
              <a:defRPr/>
            </a:pPr>
            <a:r>
              <a:rPr lang="pt-BR" sz="1050" i="1" baseline="0"/>
              <a:t>Distribuição sugerida</a:t>
            </a:r>
            <a:endParaRPr lang="pt-BR" sz="1050" i="1"/>
          </a:p>
        </c:rich>
      </c:tx>
      <c:layout>
        <c:manualLayout>
          <c:xMode val="edge"/>
          <c:yMode val="edge"/>
          <c:x val="0.11511958495930566"/>
          <c:y val="2.52536466994941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APP!$C$50</c:f>
              <c:strCache>
                <c:ptCount val="1"/>
                <c:pt idx="0">
                  <c:v>PERCENTUAL SUGERIDO</c:v>
                </c:pt>
              </c:strCache>
            </c:strRef>
          </c:tx>
          <c:spPr>
            <a:solidFill>
              <a:srgbClr val="F5670F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APP!$B$51:$B$56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APP!$C$51:$C$56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9E-4567-A1B2-D17ADC100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919376799"/>
        <c:axId val="340925199"/>
      </c:barChart>
      <c:catAx>
        <c:axId val="919376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0925199"/>
        <c:crosses val="autoZero"/>
        <c:auto val="1"/>
        <c:lblAlgn val="ctr"/>
        <c:lblOffset val="100"/>
        <c:noMultiLvlLbl val="0"/>
      </c:catAx>
      <c:valAx>
        <c:axId val="340925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9376799"/>
        <c:crosses val="autoZero"/>
        <c:crossBetween val="between"/>
      </c:valAx>
      <c:spPr>
        <a:solidFill>
          <a:srgbClr val="155B1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3300"/>
    </a:solidFill>
    <a:ln>
      <a:solidFill>
        <a:srgbClr val="003300"/>
      </a:solidFill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solidFill>
                  <a:schemeClr val="bg1"/>
                </a:solidFill>
              </a:rPr>
              <a:t>EVOLUÇÃO DO PATRIMÔNIO </a:t>
            </a:r>
          </a:p>
          <a:p>
            <a:pPr algn="l">
              <a:defRPr/>
            </a:pPr>
            <a:r>
              <a:rPr lang="pt-BR" sz="1050" b="0" i="1">
                <a:solidFill>
                  <a:schemeClr val="bg1"/>
                </a:solidFill>
              </a:rPr>
              <a:t>Valores</a:t>
            </a:r>
            <a:r>
              <a:rPr lang="pt-BR" sz="1050" b="0" i="1" baseline="0">
                <a:solidFill>
                  <a:schemeClr val="bg1"/>
                </a:solidFill>
              </a:rPr>
              <a:t> projetados ao longo do tempo</a:t>
            </a:r>
            <a:endParaRPr lang="pt-BR" sz="1050" b="0" i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11382044168214711"/>
          <c:y val="2.3455521620634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4783944943291472"/>
          <c:y val="0.20987034185684428"/>
          <c:w val="0.83146866496334249"/>
          <c:h val="0.60624735897959348"/>
        </c:manualLayout>
      </c:layout>
      <c:lineChart>
        <c:grouping val="standard"/>
        <c:varyColors val="0"/>
        <c:ser>
          <c:idx val="1"/>
          <c:order val="0"/>
          <c:tx>
            <c:strRef>
              <c:f>APP!$G$24</c:f>
              <c:strCache>
                <c:ptCount val="1"/>
                <c:pt idx="0">
                  <c:v>CENÁRIO</c:v>
                </c:pt>
              </c:strCache>
            </c:strRef>
          </c:tx>
          <c:spPr>
            <a:ln w="25400" cap="rnd">
              <a:solidFill>
                <a:srgbClr val="FFC000">
                  <a:alpha val="95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>
                  <a:alpha val="62745"/>
                </a:srgbClr>
              </a:solidFill>
              <a:ln w="25400" cap="rnd">
                <a:solidFill>
                  <a:srgbClr val="FFC000">
                    <a:alpha val="80000"/>
                  </a:srgb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4886304605736758E-2"/>
                  <c:y val="-0.1008766305097123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89B-4CB1-920B-F9C29309D07E}"/>
                </c:ext>
              </c:extLst>
            </c:dLbl>
            <c:dLbl>
              <c:idx val="1"/>
              <c:layout>
                <c:manualLayout>
                  <c:x val="-6.4886304605736758E-2"/>
                  <c:y val="-0.1008766305097122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89B-4CB1-920B-F9C29309D07E}"/>
                </c:ext>
              </c:extLst>
            </c:dLbl>
            <c:dLbl>
              <c:idx val="3"/>
              <c:layout>
                <c:manualLayout>
                  <c:x val="-0.14220063905883976"/>
                  <c:y val="-5.72118563270772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9B-4CB1-920B-F9C29309D07E}"/>
                </c:ext>
              </c:extLst>
            </c:dLbl>
            <c:dLbl>
              <c:idx val="4"/>
              <c:layout>
                <c:manualLayout>
                  <c:x val="-0.13056145340673445"/>
                  <c:y val="-4.84789014905503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9B-4CB1-920B-F9C29309D07E}"/>
                </c:ext>
              </c:extLst>
            </c:dLbl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APP!$F$26:$F$30</c:f>
              <c:strCache>
                <c:ptCount val="5"/>
                <c:pt idx="0">
                  <c:v>2 anos</c:v>
                </c:pt>
                <c:pt idx="1">
                  <c:v>5 anos</c:v>
                </c:pt>
                <c:pt idx="2">
                  <c:v>10 anos</c:v>
                </c:pt>
                <c:pt idx="3">
                  <c:v>20 anos</c:v>
                </c:pt>
                <c:pt idx="4">
                  <c:v>30 anos</c:v>
                </c:pt>
              </c:strCache>
            </c:strRef>
          </c:cat>
          <c:val>
            <c:numRef>
              <c:f>APP!$G$26:$G$30</c:f>
              <c:numCache>
                <c:formatCode>"R$"#,##0.00_);[Red]\("R$"#,##0.00\)</c:formatCode>
                <c:ptCount val="5"/>
                <c:pt idx="0">
                  <c:v>269734.64853191498</c:v>
                </c:pt>
                <c:pt idx="1">
                  <c:v>816696.69856409135</c:v>
                </c:pt>
                <c:pt idx="2">
                  <c:v>2300386.8945736699</c:v>
                </c:pt>
                <c:pt idx="3">
                  <c:v>9892553.6538736299</c:v>
                </c:pt>
                <c:pt idx="4">
                  <c:v>34949641.327685066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FF1-496E-B7B6-9C85FD1A3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8847647"/>
        <c:axId val="989770191"/>
      </c:lineChart>
      <c:catAx>
        <c:axId val="95884764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ln w="0"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9770191"/>
        <c:crossesAt val="0"/>
        <c:auto val="1"/>
        <c:lblAlgn val="ctr"/>
        <c:lblOffset val="100"/>
        <c:noMultiLvlLbl val="0"/>
      </c:catAx>
      <c:valAx>
        <c:axId val="989770191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accent3">
                  <a:lumMod val="20000"/>
                  <a:lumOff val="80000"/>
                  <a:alpha val="25000"/>
                </a:schemeClr>
              </a:solidFill>
              <a:round/>
            </a:ln>
            <a:effectLst/>
          </c:spPr>
        </c:majorGridlines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8847647"/>
        <c:crosses val="autoZero"/>
        <c:crossBetween val="between"/>
      </c:valAx>
      <c:spPr>
        <a:solidFill>
          <a:srgbClr val="155B1F"/>
        </a:solidFill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2E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 horizontalDpi="0" verticalDpi="0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295275</xdr:colOff>
      <xdr:row>0</xdr:row>
      <xdr:rowOff>63213</xdr:rowOff>
    </xdr:from>
    <xdr:to>
      <xdr:col>4</xdr:col>
      <xdr:colOff>0</xdr:colOff>
      <xdr:row>9</xdr:row>
      <xdr:rowOff>19917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5E9DBC3B-8043-D231-C732-0B2EB55939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606" b="11228"/>
        <a:stretch>
          <a:fillRect/>
        </a:stretch>
      </xdr:blipFill>
      <xdr:spPr>
        <a:xfrm>
          <a:off x="295275" y="63213"/>
          <a:ext cx="7392761" cy="1640588"/>
        </a:xfrm>
        <a:prstGeom prst="round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  <a:softEdge rad="25400"/>
        </a:effectLst>
        <a:scene3d>
          <a:camera prst="orthographicFront"/>
          <a:lightRig rig="threePt" dir="t">
            <a:rot lat="0" lon="0" rev="21594000"/>
          </a:lightRig>
        </a:scene3d>
        <a:sp3d extrusionH="38100">
          <a:bevelT w="44450" h="146050"/>
          <a:bevelB w="19050" h="88900"/>
        </a:sp3d>
      </xdr:spPr>
    </xdr:pic>
    <xdr:clientData/>
  </xdr:twoCellAnchor>
  <xdr:twoCellAnchor>
    <xdr:from>
      <xdr:col>1</xdr:col>
      <xdr:colOff>5103</xdr:colOff>
      <xdr:row>57</xdr:row>
      <xdr:rowOff>165664</xdr:rowOff>
    </xdr:from>
    <xdr:to>
      <xdr:col>4</xdr:col>
      <xdr:colOff>25513</xdr:colOff>
      <xdr:row>74</xdr:row>
      <xdr:rowOff>2380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6FE9B80-8069-1550-1787-1B8BBB23B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24150</xdr:colOff>
      <xdr:row>29</xdr:row>
      <xdr:rowOff>161589</xdr:rowOff>
    </xdr:from>
    <xdr:to>
      <xdr:col>4</xdr:col>
      <xdr:colOff>15985</xdr:colOff>
      <xdr:row>45</xdr:row>
      <xdr:rowOff>59531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E1765B6-37D9-4621-FF39-B5879D002E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51026</xdr:colOff>
      <xdr:row>58</xdr:row>
      <xdr:rowOff>85046</xdr:rowOff>
    </xdr:from>
    <xdr:to>
      <xdr:col>1</xdr:col>
      <xdr:colOff>888766</xdr:colOff>
      <xdr:row>60</xdr:row>
      <xdr:rowOff>93814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355EDE6D-2B74-5640-C625-44B33E6305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52" b="25611"/>
        <a:stretch>
          <a:fillRect/>
        </a:stretch>
      </xdr:blipFill>
      <xdr:spPr>
        <a:xfrm>
          <a:off x="365691" y="15180470"/>
          <a:ext cx="837740" cy="382964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0.00827</cdr:x>
      <cdr:y>0.02792</cdr:y>
    </cdr:from>
    <cdr:to>
      <cdr:x>0.12201</cdr:x>
      <cdr:y>0.13438</cdr:y>
    </cdr:to>
    <cdr:pic>
      <cdr:nvPicPr>
        <cdr:cNvPr id="5" name="Imagem 4">
          <a:extLst xmlns:a="http://schemas.openxmlformats.org/drawingml/2006/main">
            <a:ext uri="{FF2B5EF4-FFF2-40B4-BE49-F238E27FC236}">
              <a16:creationId xmlns:a16="http://schemas.microsoft.com/office/drawing/2014/main" id="{2F66FC4A-C459-A0B9-970D-D610CE4FCB71}"/>
            </a:ext>
          </a:extLst>
        </cdr:cNvPr>
        <cdr:cNvPicPr>
          <a:picLocks xmlns:a="http://schemas.openxmlformats.org/drawingml/2006/main" noChangeAspect="1"/>
        </cdr:cNvPicPr>
      </cdr:nvPicPr>
      <cdr:blipFill rotWithShape="1"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 l="4052" b="25611"/>
        <a:stretch xmlns:a="http://schemas.openxmlformats.org/drawingml/2006/main">
          <a:fillRect/>
        </a:stretch>
      </cdr:blipFill>
      <cdr:spPr>
        <a:xfrm xmlns:a="http://schemas.openxmlformats.org/drawingml/2006/main">
          <a:off x="60893" y="136072"/>
          <a:ext cx="837740" cy="518767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04523-466A-40E4-A161-9AD59D61953A}">
  <dimension ref="A10:L57"/>
  <sheetViews>
    <sheetView showGridLines="0" showRowColHeaders="0" tabSelected="1" zoomScale="112" zoomScaleNormal="112" workbookViewId="0">
      <selection activeCell="E46" sqref="E4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x14ac:dyDescent="0.25"/>
  <cols>
    <col min="1" max="1" width="4.7109375" customWidth="1"/>
    <col min="2" max="2" width="62.85546875" customWidth="1"/>
    <col min="3" max="3" width="29.7109375" customWidth="1"/>
    <col min="4" max="4" width="18" customWidth="1"/>
    <col min="5" max="5" width="4.5703125" customWidth="1"/>
    <col min="6" max="6" width="12.7109375" hidden="1"/>
    <col min="7" max="7" width="21.85546875" hidden="1"/>
    <col min="8" max="8" width="17" hidden="1"/>
    <col min="9" max="9" width="9.140625" hidden="1"/>
    <col min="10" max="10" width="12.7109375" hidden="1"/>
    <col min="11" max="11" width="15" hidden="1"/>
    <col min="12" max="12" width="15.28515625" hidden="1"/>
    <col min="13" max="16384" width="9.140625" hidden="1"/>
  </cols>
  <sheetData>
    <row r="10" spans="2:4" ht="15.75" thickBot="1" x14ac:dyDescent="0.3"/>
    <row r="11" spans="2:4" ht="31.5" thickTop="1" x14ac:dyDescent="0.25">
      <c r="B11" s="82" t="s">
        <v>9</v>
      </c>
      <c r="C11" s="83"/>
      <c r="D11" s="84"/>
    </row>
    <row r="12" spans="2:4" ht="17.25" x14ac:dyDescent="0.3">
      <c r="B12" s="65" t="s">
        <v>8</v>
      </c>
      <c r="C12" s="66"/>
      <c r="D12" s="6">
        <v>30000</v>
      </c>
    </row>
    <row r="13" spans="2:4" ht="17.25" x14ac:dyDescent="0.3">
      <c r="B13" s="67" t="s">
        <v>7</v>
      </c>
      <c r="C13" s="68"/>
      <c r="D13" s="7">
        <v>0.01</v>
      </c>
    </row>
    <row r="14" spans="2:4" ht="18" thickBot="1" x14ac:dyDescent="0.35">
      <c r="B14" s="69" t="s">
        <v>27</v>
      </c>
      <c r="C14" s="70"/>
      <c r="D14" s="20">
        <f>D12*30%</f>
        <v>9000</v>
      </c>
    </row>
    <row r="15" spans="2:4" ht="16.5" thickTop="1" thickBot="1" x14ac:dyDescent="0.3"/>
    <row r="16" spans="2:4" s="2" customFormat="1" ht="31.5" thickTop="1" x14ac:dyDescent="0.25">
      <c r="B16" s="63" t="s">
        <v>0</v>
      </c>
      <c r="C16" s="64"/>
      <c r="D16" s="71"/>
    </row>
    <row r="17" spans="1:8" ht="17.25" x14ac:dyDescent="0.3">
      <c r="B17" s="72" t="s">
        <v>71</v>
      </c>
      <c r="C17" s="73"/>
      <c r="D17" s="3">
        <v>10000</v>
      </c>
    </row>
    <row r="18" spans="1:8" ht="17.25" x14ac:dyDescent="0.3">
      <c r="B18" s="74" t="s">
        <v>72</v>
      </c>
      <c r="C18" s="75"/>
      <c r="D18" s="4">
        <v>5</v>
      </c>
    </row>
    <row r="19" spans="1:8" ht="17.25" x14ac:dyDescent="0.3">
      <c r="B19" s="74" t="s">
        <v>73</v>
      </c>
      <c r="C19" s="75"/>
      <c r="D19" s="5">
        <v>0.01</v>
      </c>
    </row>
    <row r="20" spans="1:8" ht="17.25" x14ac:dyDescent="0.3">
      <c r="B20" s="76" t="s">
        <v>70</v>
      </c>
      <c r="C20" s="77"/>
      <c r="D20" s="58">
        <f>FV(0,tempo_estimado*12,aporte*-1)</f>
        <v>600000</v>
      </c>
    </row>
    <row r="21" spans="1:8" ht="17.25" x14ac:dyDescent="0.3">
      <c r="B21" s="76" t="s">
        <v>69</v>
      </c>
      <c r="C21" s="77"/>
      <c r="D21" s="18">
        <f>FV(taxa_mensal,tempo_estimado*12,aporte*-1)</f>
        <v>816696.69856409135</v>
      </c>
    </row>
    <row r="22" spans="1:8" ht="18" thickBot="1" x14ac:dyDescent="0.35">
      <c r="B22" s="78" t="s">
        <v>68</v>
      </c>
      <c r="C22" s="79"/>
      <c r="D22" s="19">
        <f>patrimonio_acumulado*rendimento_carteira</f>
        <v>8166.9669856409137</v>
      </c>
    </row>
    <row r="23" spans="1:8" ht="16.5" thickTop="1" thickBot="1" x14ac:dyDescent="0.3">
      <c r="A23" s="1"/>
    </row>
    <row r="24" spans="1:8" ht="31.5" thickTop="1" x14ac:dyDescent="0.25">
      <c r="A24" s="59"/>
      <c r="B24" s="63" t="s">
        <v>67</v>
      </c>
      <c r="C24" s="64"/>
      <c r="D24" s="8" t="s">
        <v>6</v>
      </c>
      <c r="F24" s="91" t="s">
        <v>59</v>
      </c>
      <c r="G24" s="80" t="s">
        <v>67</v>
      </c>
      <c r="H24" s="81"/>
    </row>
    <row r="25" spans="1:8" ht="17.25" x14ac:dyDescent="0.3">
      <c r="A25" s="1">
        <v>2</v>
      </c>
      <c r="B25" s="9" t="s">
        <v>1</v>
      </c>
      <c r="C25" s="10">
        <f>FV($D$19,$A25*12,$D$17*-1)</f>
        <v>269734.64853191498</v>
      </c>
      <c r="D25" s="11">
        <f>C25*rendimento_carteira</f>
        <v>2697.3464853191499</v>
      </c>
      <c r="F25" s="92"/>
      <c r="G25" s="60" t="s">
        <v>60</v>
      </c>
      <c r="H25" s="60" t="s">
        <v>61</v>
      </c>
    </row>
    <row r="26" spans="1:8" ht="17.25" x14ac:dyDescent="0.3">
      <c r="A26" s="1">
        <v>5</v>
      </c>
      <c r="B26" s="12" t="s">
        <v>2</v>
      </c>
      <c r="C26" s="13">
        <f>FV($D$19,$A26*12,$D$17*-1)</f>
        <v>816696.69856409135</v>
      </c>
      <c r="D26" s="14">
        <f>C26*rendimento_carteira</f>
        <v>8166.9669856409137</v>
      </c>
      <c r="F26" s="61" t="s">
        <v>62</v>
      </c>
      <c r="G26" s="62">
        <f>C25</f>
        <v>269734.64853191498</v>
      </c>
      <c r="H26" s="62">
        <f>D25</f>
        <v>2697.3464853191499</v>
      </c>
    </row>
    <row r="27" spans="1:8" ht="17.25" x14ac:dyDescent="0.3">
      <c r="A27" s="1">
        <v>10</v>
      </c>
      <c r="B27" s="12" t="s">
        <v>3</v>
      </c>
      <c r="C27" s="13">
        <f>FV($D$19,$A27*12,$D$17*-1)</f>
        <v>2300386.8945736699</v>
      </c>
      <c r="D27" s="14">
        <f>C27*rendimento_carteira</f>
        <v>23003.8689457367</v>
      </c>
      <c r="F27" s="62" t="s">
        <v>63</v>
      </c>
      <c r="G27" s="62">
        <f>C26</f>
        <v>816696.69856409135</v>
      </c>
      <c r="H27" s="62">
        <f>D26</f>
        <v>8166.9669856409137</v>
      </c>
    </row>
    <row r="28" spans="1:8" ht="17.25" x14ac:dyDescent="0.3">
      <c r="A28" s="1">
        <v>20</v>
      </c>
      <c r="B28" s="12" t="s">
        <v>4</v>
      </c>
      <c r="C28" s="13">
        <f>FV($D$19,$A28*12,$D$17*-1)</f>
        <v>9892553.6538736299</v>
      </c>
      <c r="D28" s="14">
        <f>C28*rendimento_carteira</f>
        <v>98925.536538736298</v>
      </c>
      <c r="F28" s="61" t="s">
        <v>64</v>
      </c>
      <c r="G28" s="62">
        <f>C27</f>
        <v>2300386.8945736699</v>
      </c>
      <c r="H28" s="62">
        <f>D27</f>
        <v>23003.8689457367</v>
      </c>
    </row>
    <row r="29" spans="1:8" ht="18" thickBot="1" x14ac:dyDescent="0.35">
      <c r="A29" s="1">
        <v>30</v>
      </c>
      <c r="B29" s="15" t="s">
        <v>5</v>
      </c>
      <c r="C29" s="16">
        <f>FV($D$19,$A29*12,$D$17*-1)</f>
        <v>34949641.327685066</v>
      </c>
      <c r="D29" s="17">
        <f>C29*rendimento_carteira</f>
        <v>349496.41327685065</v>
      </c>
      <c r="F29" s="61" t="s">
        <v>65</v>
      </c>
      <c r="G29" s="62">
        <f>C28</f>
        <v>9892553.6538736299</v>
      </c>
      <c r="H29" s="62">
        <f>D28</f>
        <v>98925.536538736298</v>
      </c>
    </row>
    <row r="30" spans="1:8" ht="15.75" thickTop="1" x14ac:dyDescent="0.25">
      <c r="F30" s="61" t="s">
        <v>66</v>
      </c>
      <c r="G30" s="62">
        <f>C29</f>
        <v>34949641.327685066</v>
      </c>
      <c r="H30" s="62">
        <f>D29</f>
        <v>349496.41327685065</v>
      </c>
    </row>
    <row r="32" spans="1:8" x14ac:dyDescent="0.25">
      <c r="A32" s="59"/>
    </row>
    <row r="33" spans="1:4" x14ac:dyDescent="0.25">
      <c r="A33" s="59"/>
    </row>
    <row r="34" spans="1:4" x14ac:dyDescent="0.25">
      <c r="A34" s="59"/>
    </row>
    <row r="35" spans="1:4" x14ac:dyDescent="0.25">
      <c r="A35" s="59"/>
    </row>
    <row r="36" spans="1:4" x14ac:dyDescent="0.25">
      <c r="A36" s="59"/>
    </row>
    <row r="37" spans="1:4" x14ac:dyDescent="0.25">
      <c r="A37" s="59"/>
    </row>
    <row r="38" spans="1:4" x14ac:dyDescent="0.25">
      <c r="A38" s="59"/>
    </row>
    <row r="39" spans="1:4" x14ac:dyDescent="0.25">
      <c r="A39" s="59"/>
    </row>
    <row r="40" spans="1:4" x14ac:dyDescent="0.25">
      <c r="A40" s="59"/>
    </row>
    <row r="41" spans="1:4" x14ac:dyDescent="0.25">
      <c r="A41" s="59"/>
    </row>
    <row r="42" spans="1:4" x14ac:dyDescent="0.25">
      <c r="A42" s="59"/>
    </row>
    <row r="43" spans="1:4" x14ac:dyDescent="0.25">
      <c r="A43" s="59"/>
    </row>
    <row r="44" spans="1:4" x14ac:dyDescent="0.25">
      <c r="A44" s="59"/>
    </row>
    <row r="45" spans="1:4" x14ac:dyDescent="0.25">
      <c r="A45" s="59"/>
    </row>
    <row r="46" spans="1:4" x14ac:dyDescent="0.25">
      <c r="A46" s="59"/>
    </row>
    <row r="47" spans="1:4" x14ac:dyDescent="0.25">
      <c r="B47" s="22" t="s">
        <v>10</v>
      </c>
      <c r="C47" s="23" t="s">
        <v>11</v>
      </c>
      <c r="D47" s="21"/>
    </row>
    <row r="48" spans="1:4" x14ac:dyDescent="0.25">
      <c r="B48" s="28" t="s">
        <v>14</v>
      </c>
      <c r="C48" s="29">
        <f>aporte</f>
        <v>10000</v>
      </c>
      <c r="D48" s="30"/>
    </row>
    <row r="50" spans="2:4" x14ac:dyDescent="0.25">
      <c r="B50" s="27" t="s">
        <v>15</v>
      </c>
      <c r="C50" s="27" t="s">
        <v>16</v>
      </c>
      <c r="D50" s="27" t="s">
        <v>17</v>
      </c>
    </row>
    <row r="51" spans="2:4" ht="15.75" x14ac:dyDescent="0.25">
      <c r="B51" s="39" t="s">
        <v>18</v>
      </c>
      <c r="C51" s="40">
        <f>VLOOKUP($C$47&amp;"-"&amp;B51,'TABELA DE APOIO'!$B:$E,4,FALSE)</f>
        <v>0.5</v>
      </c>
      <c r="D51" s="41">
        <f t="shared" ref="D51:D56" si="0">C51*$C$48</f>
        <v>5000</v>
      </c>
    </row>
    <row r="52" spans="2:4" ht="15.75" x14ac:dyDescent="0.25">
      <c r="B52" s="39" t="s">
        <v>19</v>
      </c>
      <c r="C52" s="40">
        <f>VLOOKUP($C$47&amp;"-"&amp;B52,'TABELA DE APOIO'!$B:$E,4,FALSE)</f>
        <v>0.1</v>
      </c>
      <c r="D52" s="41">
        <f t="shared" si="0"/>
        <v>1000</v>
      </c>
    </row>
    <row r="53" spans="2:4" ht="15.75" x14ac:dyDescent="0.25">
      <c r="B53" s="39" t="s">
        <v>21</v>
      </c>
      <c r="C53" s="40">
        <f>VLOOKUP($C$47&amp;"-"&amp;B53,'TABELA DE APOIO'!$B:$E,4,FALSE)</f>
        <v>0.05</v>
      </c>
      <c r="D53" s="41">
        <f t="shared" si="0"/>
        <v>500</v>
      </c>
    </row>
    <row r="54" spans="2:4" ht="15.75" x14ac:dyDescent="0.25">
      <c r="B54" s="39" t="s">
        <v>20</v>
      </c>
      <c r="C54" s="40">
        <f>VLOOKUP($C$47&amp;"-"&amp;B54,'TABELA DE APOIO'!$B:$E,4,FALSE)</f>
        <v>0.05</v>
      </c>
      <c r="D54" s="41">
        <f t="shared" si="0"/>
        <v>500</v>
      </c>
    </row>
    <row r="55" spans="2:4" ht="15.75" x14ac:dyDescent="0.25">
      <c r="B55" s="39" t="s">
        <v>22</v>
      </c>
      <c r="C55" s="40">
        <f>VLOOKUP($C$47&amp;"-"&amp;B55,'TABELA DE APOIO'!$B:$E,4,FALSE)</f>
        <v>0.2</v>
      </c>
      <c r="D55" s="41">
        <f t="shared" si="0"/>
        <v>2000</v>
      </c>
    </row>
    <row r="56" spans="2:4" ht="15.75" x14ac:dyDescent="0.25">
      <c r="B56" s="39" t="s">
        <v>23</v>
      </c>
      <c r="C56" s="40">
        <f>VLOOKUP($C$47&amp;"-"&amp;B56,'TABELA DE APOIO'!$B:$E,4,FALSE)</f>
        <v>0.1</v>
      </c>
      <c r="D56" s="41">
        <f t="shared" si="0"/>
        <v>1000</v>
      </c>
    </row>
    <row r="57" spans="2:4" x14ac:dyDescent="0.25">
      <c r="B57" s="25"/>
      <c r="C57" s="25"/>
      <c r="D57" s="26">
        <f>SUM(D51:D56)</f>
        <v>10000</v>
      </c>
    </row>
  </sheetData>
  <mergeCells count="14">
    <mergeCell ref="F24:F25"/>
    <mergeCell ref="G24:H24"/>
    <mergeCell ref="B11:D11"/>
    <mergeCell ref="B24:C24"/>
    <mergeCell ref="B12:C12"/>
    <mergeCell ref="B13:C13"/>
    <mergeCell ref="B14:C14"/>
    <mergeCell ref="B16:D16"/>
    <mergeCell ref="B17:C17"/>
    <mergeCell ref="B18:C18"/>
    <mergeCell ref="B19:C19"/>
    <mergeCell ref="B21:C21"/>
    <mergeCell ref="B22:C22"/>
    <mergeCell ref="B20:C20"/>
  </mergeCells>
  <dataValidations disablePrompts="1" count="1">
    <dataValidation type="list" allowBlank="1" showInputMessage="1" showErrorMessage="1" sqref="C47" xr:uid="{1D6FC54F-7111-4941-8B96-926C9CD0A58C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scale="77" orientation="portrait" horizontalDpi="0" verticalDpi="0" r:id="rId1"/>
  <colBreaks count="1" manualBreakCount="1">
    <brk id="5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51A06-804E-4C12-9AA0-B0900FED2A44}">
  <dimension ref="B3:H21"/>
  <sheetViews>
    <sheetView topLeftCell="A6" workbookViewId="0">
      <selection activeCell="G16" sqref="G16"/>
    </sheetView>
  </sheetViews>
  <sheetFormatPr defaultRowHeight="15" x14ac:dyDescent="0.25"/>
  <cols>
    <col min="1" max="1" width="4.28515625" customWidth="1"/>
    <col min="2" max="2" width="33" bestFit="1" customWidth="1"/>
    <col min="3" max="3" width="14.42578125" bestFit="1" customWidth="1"/>
    <col min="4" max="4" width="18.5703125" bestFit="1" customWidth="1"/>
    <col min="7" max="7" width="18.28515625" bestFit="1" customWidth="1"/>
  </cols>
  <sheetData>
    <row r="3" spans="2:8" ht="18.75" x14ac:dyDescent="0.3">
      <c r="B3" s="43" t="s">
        <v>25</v>
      </c>
      <c r="C3" s="42" t="s">
        <v>10</v>
      </c>
      <c r="D3" s="42" t="s">
        <v>15</v>
      </c>
      <c r="E3" s="42" t="s">
        <v>24</v>
      </c>
      <c r="H3" s="31" t="s">
        <v>24</v>
      </c>
    </row>
    <row r="4" spans="2:8" x14ac:dyDescent="0.25">
      <c r="B4" t="str">
        <f>C4&amp;"-"&amp;D4</f>
        <v>CONSERVADOR-PAPEL</v>
      </c>
      <c r="C4" t="s">
        <v>12</v>
      </c>
      <c r="D4" s="24" t="s">
        <v>18</v>
      </c>
      <c r="E4" s="34">
        <v>0.3</v>
      </c>
      <c r="G4" s="37" t="s">
        <v>26</v>
      </c>
      <c r="H4" s="38">
        <f>VLOOKUP(G4,$B:$E,4,FALSE)</f>
        <v>0.35</v>
      </c>
    </row>
    <row r="5" spans="2:8" x14ac:dyDescent="0.25">
      <c r="B5" t="str">
        <f t="shared" ref="B5:B21" si="0">C5&amp;"-"&amp;D5</f>
        <v>CONSERVADOR-TIJOLO</v>
      </c>
      <c r="C5" t="s">
        <v>12</v>
      </c>
      <c r="D5" s="24" t="s">
        <v>19</v>
      </c>
      <c r="E5" s="34">
        <v>0.5</v>
      </c>
    </row>
    <row r="6" spans="2:8" x14ac:dyDescent="0.25">
      <c r="B6" t="str">
        <f t="shared" si="0"/>
        <v>CONSERVADOR-HÍBRIDO</v>
      </c>
      <c r="C6" t="s">
        <v>12</v>
      </c>
      <c r="D6" s="24" t="s">
        <v>21</v>
      </c>
      <c r="E6" s="34">
        <v>0.1</v>
      </c>
    </row>
    <row r="7" spans="2:8" x14ac:dyDescent="0.25">
      <c r="B7" t="str">
        <f t="shared" si="0"/>
        <v>CONSERVADOR-FOFs</v>
      </c>
      <c r="C7" t="s">
        <v>12</v>
      </c>
      <c r="D7" s="24" t="s">
        <v>20</v>
      </c>
      <c r="E7" s="34">
        <v>0.1</v>
      </c>
    </row>
    <row r="8" spans="2:8" x14ac:dyDescent="0.25">
      <c r="B8" t="str">
        <f t="shared" si="0"/>
        <v>CONSERVADOR-DESENVOLVIMENTO</v>
      </c>
      <c r="C8" t="s">
        <v>12</v>
      </c>
      <c r="D8" s="24" t="s">
        <v>22</v>
      </c>
      <c r="E8" s="34">
        <v>0</v>
      </c>
    </row>
    <row r="9" spans="2:8" ht="15.75" thickBot="1" x14ac:dyDescent="0.3">
      <c r="B9" s="32" t="str">
        <f t="shared" si="0"/>
        <v>CONSERVADOR-HOTELARIA</v>
      </c>
      <c r="C9" s="32" t="s">
        <v>12</v>
      </c>
      <c r="D9" s="33" t="s">
        <v>23</v>
      </c>
      <c r="E9" s="35">
        <v>0</v>
      </c>
    </row>
    <row r="10" spans="2:8" ht="15.75" thickTop="1" x14ac:dyDescent="0.25">
      <c r="B10" t="str">
        <f t="shared" si="0"/>
        <v>MODERADO-PAPEL</v>
      </c>
      <c r="C10" t="s">
        <v>13</v>
      </c>
      <c r="D10" s="24" t="s">
        <v>18</v>
      </c>
      <c r="E10" s="36">
        <v>0.32</v>
      </c>
    </row>
    <row r="11" spans="2:8" x14ac:dyDescent="0.25">
      <c r="B11" t="str">
        <f t="shared" si="0"/>
        <v>MODERADO-TIJOLO</v>
      </c>
      <c r="C11" t="s">
        <v>13</v>
      </c>
      <c r="D11" s="24" t="s">
        <v>19</v>
      </c>
      <c r="E11" s="36">
        <v>0.35</v>
      </c>
    </row>
    <row r="12" spans="2:8" x14ac:dyDescent="0.25">
      <c r="B12" t="str">
        <f t="shared" si="0"/>
        <v>MODERADO-HÍBRIDO</v>
      </c>
      <c r="C12" t="s">
        <v>13</v>
      </c>
      <c r="D12" s="24" t="s">
        <v>21</v>
      </c>
      <c r="E12" s="36">
        <v>0.08</v>
      </c>
    </row>
    <row r="13" spans="2:8" x14ac:dyDescent="0.25">
      <c r="B13" t="str">
        <f t="shared" si="0"/>
        <v>MODERADO-FOFs</v>
      </c>
      <c r="C13" t="s">
        <v>13</v>
      </c>
      <c r="D13" s="24" t="s">
        <v>20</v>
      </c>
      <c r="E13" s="36">
        <v>0.05</v>
      </c>
    </row>
    <row r="14" spans="2:8" x14ac:dyDescent="0.25">
      <c r="B14" t="str">
        <f t="shared" si="0"/>
        <v>MODERADO-DESENVOLVIMENTO</v>
      </c>
      <c r="C14" t="s">
        <v>13</v>
      </c>
      <c r="D14" s="24" t="s">
        <v>22</v>
      </c>
      <c r="E14" s="36">
        <v>0.1</v>
      </c>
    </row>
    <row r="15" spans="2:8" ht="15.75" thickBot="1" x14ac:dyDescent="0.3">
      <c r="B15" s="32" t="str">
        <f t="shared" si="0"/>
        <v>MODERADO-HOTELARIA</v>
      </c>
      <c r="C15" s="32" t="s">
        <v>13</v>
      </c>
      <c r="D15" s="33" t="s">
        <v>23</v>
      </c>
      <c r="E15" s="35">
        <v>0.1</v>
      </c>
    </row>
    <row r="16" spans="2:8" ht="15.75" thickTop="1" x14ac:dyDescent="0.25">
      <c r="B16" t="str">
        <f t="shared" si="0"/>
        <v>AGRESSIVO-PAPEL</v>
      </c>
      <c r="C16" t="s">
        <v>11</v>
      </c>
      <c r="D16" s="24" t="s">
        <v>18</v>
      </c>
      <c r="E16" s="36">
        <v>0.5</v>
      </c>
    </row>
    <row r="17" spans="2:5" x14ac:dyDescent="0.25">
      <c r="B17" t="str">
        <f t="shared" si="0"/>
        <v>AGRESSIVO-TIJOLO</v>
      </c>
      <c r="C17" t="s">
        <v>11</v>
      </c>
      <c r="D17" s="24" t="s">
        <v>19</v>
      </c>
      <c r="E17" s="36">
        <v>0.1</v>
      </c>
    </row>
    <row r="18" spans="2:5" x14ac:dyDescent="0.25">
      <c r="B18" t="str">
        <f t="shared" si="0"/>
        <v>AGRESSIVO-HÍBRIDO</v>
      </c>
      <c r="C18" t="s">
        <v>11</v>
      </c>
      <c r="D18" s="24" t="s">
        <v>21</v>
      </c>
      <c r="E18" s="36">
        <v>0.05</v>
      </c>
    </row>
    <row r="19" spans="2:5" x14ac:dyDescent="0.25">
      <c r="B19" t="str">
        <f t="shared" si="0"/>
        <v>AGRESSIVO-FOFs</v>
      </c>
      <c r="C19" t="s">
        <v>11</v>
      </c>
      <c r="D19" s="24" t="s">
        <v>20</v>
      </c>
      <c r="E19" s="36">
        <v>0.05</v>
      </c>
    </row>
    <row r="20" spans="2:5" x14ac:dyDescent="0.25">
      <c r="B20" t="str">
        <f t="shared" si="0"/>
        <v>AGRESSIVO-DESENVOLVIMENTO</v>
      </c>
      <c r="C20" t="s">
        <v>11</v>
      </c>
      <c r="D20" s="24" t="s">
        <v>22</v>
      </c>
      <c r="E20" s="36">
        <v>0.2</v>
      </c>
    </row>
    <row r="21" spans="2:5" x14ac:dyDescent="0.25">
      <c r="B21" t="str">
        <f t="shared" si="0"/>
        <v>AGRESSIVO-HOTELARIA</v>
      </c>
      <c r="C21" t="s">
        <v>11</v>
      </c>
      <c r="D21" s="24" t="s">
        <v>23</v>
      </c>
      <c r="E21" s="36">
        <v>0.1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DF0B-A828-4B96-86EC-80069871E832}">
  <dimension ref="A1:F15"/>
  <sheetViews>
    <sheetView workbookViewId="0">
      <selection activeCell="B4" sqref="B4:E4"/>
    </sheetView>
  </sheetViews>
  <sheetFormatPr defaultColWidth="0" defaultRowHeight="15" x14ac:dyDescent="0.25"/>
  <cols>
    <col min="1" max="1" width="4.140625" customWidth="1"/>
    <col min="2" max="2" width="22" customWidth="1"/>
    <col min="3" max="3" width="44" customWidth="1"/>
    <col min="4" max="4" width="52" customWidth="1"/>
    <col min="5" max="5" width="48" customWidth="1"/>
    <col min="6" max="6" width="4" customWidth="1"/>
    <col min="7" max="16384" width="9.140625" hidden="1"/>
  </cols>
  <sheetData>
    <row r="1" spans="2:5" ht="8.25" customHeight="1" x14ac:dyDescent="0.25"/>
    <row r="2" spans="2:5" ht="4.5" customHeight="1" x14ac:dyDescent="0.25"/>
    <row r="3" spans="2:5" ht="24" x14ac:dyDescent="0.25">
      <c r="B3" s="85" t="s">
        <v>28</v>
      </c>
      <c r="C3" s="86"/>
      <c r="D3" s="86"/>
      <c r="E3" s="86"/>
    </row>
    <row r="4" spans="2:5" ht="21.75" customHeight="1" x14ac:dyDescent="0.25">
      <c r="B4" s="87" t="s">
        <v>58</v>
      </c>
      <c r="C4" s="88"/>
      <c r="D4" s="88"/>
      <c r="E4" s="88"/>
    </row>
    <row r="5" spans="2:5" ht="9" customHeight="1" thickBot="1" x14ac:dyDescent="0.3"/>
    <row r="6" spans="2:5" ht="26.25" thickTop="1" x14ac:dyDescent="0.25">
      <c r="B6" s="55" t="s">
        <v>42</v>
      </c>
      <c r="C6" s="56" t="s">
        <v>43</v>
      </c>
      <c r="D6" s="56" t="s">
        <v>44</v>
      </c>
      <c r="E6" s="57" t="s">
        <v>57</v>
      </c>
    </row>
    <row r="7" spans="2:5" ht="51.75" x14ac:dyDescent="0.25">
      <c r="B7" s="52" t="s">
        <v>29</v>
      </c>
      <c r="C7" s="44" t="s">
        <v>30</v>
      </c>
      <c r="D7" s="44" t="s">
        <v>47</v>
      </c>
      <c r="E7" s="45" t="s">
        <v>51</v>
      </c>
    </row>
    <row r="8" spans="2:5" ht="51.75" x14ac:dyDescent="0.25">
      <c r="B8" s="53" t="s">
        <v>31</v>
      </c>
      <c r="C8" s="46" t="s">
        <v>32</v>
      </c>
      <c r="D8" s="46" t="s">
        <v>45</v>
      </c>
      <c r="E8" s="47" t="s">
        <v>52</v>
      </c>
    </row>
    <row r="9" spans="2:5" ht="34.5" x14ac:dyDescent="0.25">
      <c r="B9" s="53" t="s">
        <v>33</v>
      </c>
      <c r="C9" s="48" t="s">
        <v>34</v>
      </c>
      <c r="D9" s="48" t="s">
        <v>46</v>
      </c>
      <c r="E9" s="49" t="s">
        <v>53</v>
      </c>
    </row>
    <row r="10" spans="2:5" ht="51.75" x14ac:dyDescent="0.25">
      <c r="B10" s="53" t="s">
        <v>35</v>
      </c>
      <c r="C10" s="46" t="s">
        <v>36</v>
      </c>
      <c r="D10" s="46" t="s">
        <v>48</v>
      </c>
      <c r="E10" s="47" t="s">
        <v>54</v>
      </c>
    </row>
    <row r="11" spans="2:5" ht="34.5" x14ac:dyDescent="0.25">
      <c r="B11" s="53" t="s">
        <v>37</v>
      </c>
      <c r="C11" s="48" t="s">
        <v>38</v>
      </c>
      <c r="D11" s="48" t="s">
        <v>49</v>
      </c>
      <c r="E11" s="49" t="s">
        <v>55</v>
      </c>
    </row>
    <row r="12" spans="2:5" ht="52.5" thickBot="1" x14ac:dyDescent="0.3">
      <c r="B12" s="54" t="s">
        <v>39</v>
      </c>
      <c r="C12" s="50" t="s">
        <v>40</v>
      </c>
      <c r="D12" s="50" t="s">
        <v>50</v>
      </c>
      <c r="E12" s="51" t="s">
        <v>56</v>
      </c>
    </row>
    <row r="13" spans="2:5" ht="6.75" customHeight="1" thickTop="1" x14ac:dyDescent="0.25"/>
    <row r="14" spans="2:5" x14ac:dyDescent="0.25">
      <c r="B14" s="89" t="s">
        <v>41</v>
      </c>
      <c r="C14" s="90"/>
      <c r="D14" s="90"/>
      <c r="E14" s="90"/>
    </row>
    <row r="15" spans="2:5" x14ac:dyDescent="0.25">
      <c r="B15" s="90"/>
      <c r="C15" s="90"/>
      <c r="D15" s="90"/>
      <c r="E15" s="90"/>
    </row>
  </sheetData>
  <mergeCells count="3">
    <mergeCell ref="B3:E3"/>
    <mergeCell ref="B4:E4"/>
    <mergeCell ref="B14:E1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8</vt:i4>
      </vt:variant>
    </vt:vector>
  </HeadingPairs>
  <TitlesOfParts>
    <vt:vector size="11" baseType="lpstr">
      <vt:lpstr>APP</vt:lpstr>
      <vt:lpstr>TABELA DE APOIO</vt:lpstr>
      <vt:lpstr>TIPOS DE FII</vt:lpstr>
      <vt:lpstr>aporte</vt:lpstr>
      <vt:lpstr>investimento_acumulado</vt:lpstr>
      <vt:lpstr>patrimonio_acumulado</vt:lpstr>
      <vt:lpstr>rendimento_carteira</vt:lpstr>
      <vt:lpstr>salario_mensal</vt:lpstr>
      <vt:lpstr>sugestao_investimento</vt:lpstr>
      <vt:lpstr>taxa_mensal</vt:lpstr>
      <vt:lpstr>tempo_estimado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Patrik Ribeiro</dc:creator>
  <cp:lastModifiedBy>Patrik Ribeiro</cp:lastModifiedBy>
  <dcterms:created xsi:type="dcterms:W3CDTF">2026-10-16T01:25:02Z</dcterms:created>
  <dcterms:modified xsi:type="dcterms:W3CDTF">2026-10-18T02:40:17Z</dcterms:modified>
</cp:coreProperties>
</file>